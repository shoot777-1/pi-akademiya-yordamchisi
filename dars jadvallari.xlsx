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ython\"/>
    </mc:Choice>
  </mc:AlternateContent>
  <bookViews>
    <workbookView xWindow="0" yWindow="0" windowWidth="15840" windowHeight="8280"/>
  </bookViews>
  <sheets>
    <sheet name="oylik to'lovlar" sheetId="3" r:id="rId1"/>
    <sheet name="Sentabr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5" i="1" l="1"/>
  <c r="AJ15" i="1"/>
  <c r="AK15" i="1"/>
  <c r="AL15" i="1"/>
  <c r="AI16" i="1"/>
  <c r="AJ16" i="1"/>
  <c r="AK16" i="1"/>
  <c r="AL16" i="1"/>
  <c r="AI17" i="1"/>
  <c r="AJ17" i="1"/>
  <c r="AK17" i="1"/>
  <c r="AL17" i="1"/>
  <c r="AM15" i="1" l="1"/>
  <c r="AM17" i="1"/>
  <c r="AM16" i="1"/>
  <c r="AI14" i="1"/>
  <c r="AJ14" i="1"/>
  <c r="AK14" i="1"/>
  <c r="AL14" i="1"/>
  <c r="AL6" i="1"/>
  <c r="AL7" i="1"/>
  <c r="AL8" i="1"/>
  <c r="AL9" i="1"/>
  <c r="AL10" i="1"/>
  <c r="AL11" i="1"/>
  <c r="AL12" i="1"/>
  <c r="AL13" i="1"/>
  <c r="AL5" i="1"/>
  <c r="AK5" i="1"/>
  <c r="AK6" i="1"/>
  <c r="AK7" i="1"/>
  <c r="AK8" i="1"/>
  <c r="AK9" i="1"/>
  <c r="AK10" i="1"/>
  <c r="AK11" i="1"/>
  <c r="AK12" i="1"/>
  <c r="AK13" i="1"/>
  <c r="AJ6" i="1"/>
  <c r="AJ7" i="1"/>
  <c r="AJ8" i="1"/>
  <c r="AJ9" i="1"/>
  <c r="AJ10" i="1"/>
  <c r="AJ11" i="1"/>
  <c r="AJ12" i="1"/>
  <c r="AJ13" i="1"/>
  <c r="AJ5" i="1"/>
  <c r="AI5" i="1"/>
  <c r="AI6" i="1"/>
  <c r="AI7" i="1"/>
  <c r="AI8" i="1"/>
  <c r="AI9" i="1"/>
  <c r="AI10" i="1"/>
  <c r="AI11" i="1"/>
  <c r="AI12" i="1"/>
  <c r="AI13" i="1"/>
  <c r="AM9" i="1" l="1"/>
  <c r="AM14" i="1"/>
  <c r="AM13" i="1"/>
  <c r="AM12" i="1"/>
  <c r="AM5" i="1"/>
  <c r="AM8" i="1"/>
  <c r="AM7" i="1"/>
  <c r="AM11" i="1"/>
  <c r="AM10" i="1"/>
  <c r="AM6" i="1"/>
</calcChain>
</file>

<file path=xl/sharedStrings.xml><?xml version="1.0" encoding="utf-8"?>
<sst xmlns="http://schemas.openxmlformats.org/spreadsheetml/2006/main" count="110" uniqueCount="41">
  <si>
    <t>Qudratov Sardorbek</t>
  </si>
  <si>
    <t>Python dasturlash</t>
  </si>
  <si>
    <t>Shodiyev lionel</t>
  </si>
  <si>
    <t>Yarashov Murod</t>
  </si>
  <si>
    <t>Shamsiddinova Muhayyo</t>
  </si>
  <si>
    <t>Kompyuter savodxonligi</t>
  </si>
  <si>
    <t>Robotatexnika</t>
  </si>
  <si>
    <t>Nurov Nurmuhammad</t>
  </si>
  <si>
    <t>Olimov Dilshod</t>
  </si>
  <si>
    <t>Lola opa</t>
  </si>
  <si>
    <t>Jami</t>
  </si>
  <si>
    <t>Kurs nomi</t>
  </si>
  <si>
    <t>Jami oylik darslar soni 14 bo'ladi.</t>
  </si>
  <si>
    <t>Umumiy darslar soni</t>
  </si>
  <si>
    <t>Ism familya</t>
  </si>
  <si>
    <t>T/r</t>
  </si>
  <si>
    <t>Sentabr oyi uchun</t>
  </si>
  <si>
    <t>Ulug'murodova Charos</t>
  </si>
  <si>
    <t>Rayimov Dilshod</t>
  </si>
  <si>
    <t>Pirnazarov islom</t>
  </si>
  <si>
    <t>Ilhomov Bahodir</t>
  </si>
  <si>
    <t>Mirzayev Anvar</t>
  </si>
  <si>
    <t>Asilbek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</si>
  <si>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</si>
  <si>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</si>
  <si>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</si>
  <si>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</si>
  <si>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</si>
  <si>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</si>
  <si>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</si>
  <si>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</si>
  <si>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O'quvchilar oylik to'lov</t>
  </si>
  <si>
    <t>to'landi</t>
  </si>
  <si>
    <t>to'lov sanasi (har oy shu sanagacha)</t>
  </si>
  <si>
    <t>25-sanada</t>
  </si>
  <si>
    <t>03-sanada</t>
  </si>
  <si>
    <t>13-sanada</t>
  </si>
  <si>
    <t>08-sanada</t>
  </si>
  <si>
    <t>10-sanada</t>
  </si>
  <si>
    <t>15-sanada</t>
  </si>
  <si>
    <t>ota ona telegram id raqami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</si>
</sst>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5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7"/>
  <sheetViews>
    <sheetView tabSelected="1" zoomScale="70" zoomScaleNormal="70" workbookViewId="0">
      <pane xSplit="3" topLeftCell="K1" activePane="topRight" state="frozen"/>
      <selection pane="topRight" activeCell="P15" sqref="P15"/>
    </sheetView>
  </sheetViews>
  <sheetFormatPr defaultRowHeight="14.4" x14ac:dyDescent="0.3"/>
  <cols>
    <col min="1" max="1" width="1.33203125" customWidth="1"/>
    <col min="2" max="2" width="5.5546875" customWidth="1"/>
    <col min="3" max="3" width="23.33203125" bestFit="1" customWidth="1"/>
    <col min="4" max="4" width="22.6640625" bestFit="1" customWidth="1"/>
    <col min="5" max="12" width="12.6640625" customWidth="1"/>
    <col min="13" max="13" width="16.44140625" customWidth="1"/>
    <col min="14" max="14" width="31.109375" customWidth="1"/>
    <col min="18" max="18" width="16.33203125" bestFit="1" customWidth="1"/>
  </cols>
  <sheetData>
    <row r="1" spans="2:14" ht="9.75" customHeight="1" x14ac:dyDescent="0.3"/>
    <row r="2" spans="2:14" ht="29.25" customHeight="1" x14ac:dyDescent="0.6">
      <c r="B2" s="13" t="s">
        <v>31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37.5" customHeight="1" x14ac:dyDescent="0.3">
      <c r="B3" s="8" t="s">
        <v>15</v>
      </c>
      <c r="C3" s="8" t="s">
        <v>14</v>
      </c>
      <c r="D3" s="8" t="s">
        <v>11</v>
      </c>
      <c r="E3" s="8" t="s">
        <v>23</v>
      </c>
      <c r="F3" s="8" t="s">
        <v>24</v>
      </c>
      <c r="G3" s="8" t="s">
        <v>25</v>
      </c>
      <c r="H3" s="8" t="s">
        <v>26</v>
      </c>
      <c r="I3" s="8" t="s">
        <v>27</v>
      </c>
      <c r="J3" s="8" t="s">
        <v>28</v>
      </c>
      <c r="K3" s="8" t="s">
        <v>29</v>
      </c>
      <c r="L3" s="8" t="s">
        <v>30</v>
      </c>
      <c r="M3" s="9" t="s">
        <v>33</v>
      </c>
      <c r="N3" s="9" t="s">
        <v>40</v>
      </c>
    </row>
    <row r="4" spans="2:14" ht="37.5" hidden="1" customHeight="1" x14ac:dyDescent="0.3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ht="30.6" customHeight="1" x14ac:dyDescent="0.3">
      <c r="B5" s="8">
        <v>1</v>
      </c>
      <c r="C5" s="8" t="s">
        <v>0</v>
      </c>
      <c r="D5" s="8" t="s">
        <v>1</v>
      </c>
      <c r="E5" s="10" t="s">
        <v>32</v>
      </c>
      <c r="F5" s="11" t="s">
        <v>32</v>
      </c>
      <c r="G5" s="11" t="s">
        <v>32</v>
      </c>
      <c r="H5" s="11" t="s">
        <v>32</v>
      </c>
      <c r="I5" s="10"/>
      <c r="J5" s="11"/>
      <c r="K5" s="10"/>
      <c r="L5" s="11"/>
      <c r="M5" s="10" t="s">
        <v>34</v>
      </c>
      <c r="N5" s="15">
        <v>5682626877</v>
      </c>
    </row>
    <row r="6" spans="2:14" ht="30.6" customHeight="1" x14ac:dyDescent="0.3">
      <c r="B6" s="8">
        <v>2</v>
      </c>
      <c r="C6" s="8" t="s">
        <v>3</v>
      </c>
      <c r="D6" s="8" t="s">
        <v>1</v>
      </c>
      <c r="E6" s="10" t="s">
        <v>32</v>
      </c>
      <c r="F6" s="10" t="s">
        <v>32</v>
      </c>
      <c r="G6" s="10" t="s">
        <v>32</v>
      </c>
      <c r="H6" s="10" t="s">
        <v>32</v>
      </c>
      <c r="I6" s="10"/>
      <c r="J6" s="11"/>
      <c r="K6" s="11"/>
      <c r="L6" s="10"/>
      <c r="M6" s="10" t="s">
        <v>34</v>
      </c>
      <c r="N6" s="15">
        <v>6187789797</v>
      </c>
    </row>
    <row r="7" spans="2:14" ht="30.6" customHeight="1" x14ac:dyDescent="0.3">
      <c r="B7" s="8">
        <v>3</v>
      </c>
      <c r="C7" s="8" t="s">
        <v>2</v>
      </c>
      <c r="D7" s="8" t="s">
        <v>1</v>
      </c>
      <c r="E7" s="10" t="s">
        <v>32</v>
      </c>
      <c r="F7" s="10" t="s">
        <v>32</v>
      </c>
      <c r="G7" s="10" t="s">
        <v>32</v>
      </c>
      <c r="H7" s="10" t="s">
        <v>32</v>
      </c>
      <c r="I7" s="10"/>
      <c r="J7" s="11"/>
      <c r="K7" s="11"/>
      <c r="L7" s="10"/>
      <c r="M7" s="10" t="s">
        <v>34</v>
      </c>
      <c r="N7" s="15">
        <v>7631565966</v>
      </c>
    </row>
    <row r="8" spans="2:14" ht="30.6" customHeight="1" x14ac:dyDescent="0.3">
      <c r="B8" s="8">
        <v>4</v>
      </c>
      <c r="C8" s="8" t="s">
        <v>7</v>
      </c>
      <c r="D8" s="8" t="s">
        <v>1</v>
      </c>
      <c r="E8" s="10"/>
      <c r="F8" s="11"/>
      <c r="G8" s="11"/>
      <c r="H8" s="10" t="s">
        <v>32</v>
      </c>
      <c r="I8" s="10"/>
      <c r="J8" s="11"/>
      <c r="K8" s="11"/>
      <c r="L8" s="10"/>
      <c r="M8" s="10" t="s">
        <v>38</v>
      </c>
      <c r="N8" s="15">
        <v>765082169</v>
      </c>
    </row>
    <row r="9" spans="2:14" ht="30.6" customHeight="1" x14ac:dyDescent="0.3">
      <c r="B9" s="8">
        <v>5</v>
      </c>
      <c r="C9" s="8" t="s">
        <v>8</v>
      </c>
      <c r="D9" s="8" t="s">
        <v>1</v>
      </c>
      <c r="E9" s="11"/>
      <c r="F9" s="11"/>
      <c r="G9" s="10"/>
      <c r="H9" s="10" t="s">
        <v>32</v>
      </c>
      <c r="I9" s="10"/>
      <c r="J9" s="11"/>
      <c r="K9" s="11"/>
      <c r="L9" s="10"/>
      <c r="M9" s="10" t="s">
        <v>34</v>
      </c>
      <c r="N9" s="15">
        <v>738574727</v>
      </c>
    </row>
    <row r="10" spans="2:14" ht="30.6" customHeight="1" x14ac:dyDescent="0.3">
      <c r="B10" s="8">
        <v>6</v>
      </c>
      <c r="C10" s="8" t="s">
        <v>4</v>
      </c>
      <c r="D10" s="8" t="s">
        <v>5</v>
      </c>
      <c r="E10" s="10"/>
      <c r="F10" s="10" t="s">
        <v>32</v>
      </c>
      <c r="G10" s="10" t="s">
        <v>32</v>
      </c>
      <c r="H10" s="10" t="s">
        <v>32</v>
      </c>
      <c r="I10" s="10"/>
      <c r="J10" s="11"/>
      <c r="K10" s="10"/>
      <c r="L10" s="11"/>
      <c r="M10" s="10" t="s">
        <v>35</v>
      </c>
      <c r="N10" s="15">
        <v>5890226645</v>
      </c>
    </row>
    <row r="11" spans="2:14" ht="30.6" customHeight="1" x14ac:dyDescent="0.3">
      <c r="B11" s="8">
        <v>7</v>
      </c>
      <c r="C11" s="8" t="s">
        <v>9</v>
      </c>
      <c r="D11" s="8" t="s">
        <v>5</v>
      </c>
      <c r="E11" s="10"/>
      <c r="F11" s="11"/>
      <c r="G11" s="10"/>
      <c r="H11" s="10" t="s">
        <v>32</v>
      </c>
      <c r="I11" s="12"/>
      <c r="J11" s="11"/>
      <c r="K11" s="10"/>
      <c r="L11" s="10"/>
      <c r="M11" s="10" t="s">
        <v>38</v>
      </c>
      <c r="N11" s="15"/>
    </row>
    <row r="12" spans="2:14" ht="30.6" customHeight="1" x14ac:dyDescent="0.3">
      <c r="B12" s="8">
        <v>8</v>
      </c>
      <c r="C12" s="8" t="s">
        <v>17</v>
      </c>
      <c r="D12" s="8" t="s">
        <v>6</v>
      </c>
      <c r="E12" s="10"/>
      <c r="F12" s="11"/>
      <c r="G12" s="10"/>
      <c r="H12" s="10" t="s">
        <v>32</v>
      </c>
      <c r="I12" s="10"/>
      <c r="J12" s="11"/>
      <c r="K12" s="10"/>
      <c r="L12" s="10"/>
      <c r="M12" s="10" t="s">
        <v>34</v>
      </c>
      <c r="N12" s="15">
        <v>582625391</v>
      </c>
    </row>
    <row r="13" spans="2:14" ht="30.6" customHeight="1" x14ac:dyDescent="0.3">
      <c r="B13" s="8">
        <v>9</v>
      </c>
      <c r="C13" s="8" t="s">
        <v>18</v>
      </c>
      <c r="D13" s="8" t="s">
        <v>6</v>
      </c>
      <c r="E13" s="10"/>
      <c r="F13" s="11"/>
      <c r="G13" s="10"/>
      <c r="H13" s="10" t="s">
        <v>32</v>
      </c>
      <c r="I13" s="10"/>
      <c r="J13" s="11"/>
      <c r="K13" s="10"/>
      <c r="L13" s="10"/>
      <c r="M13" s="10" t="s">
        <v>39</v>
      </c>
      <c r="N13" s="15">
        <v>8189144267</v>
      </c>
    </row>
    <row r="14" spans="2:14" ht="30.6" customHeight="1" x14ac:dyDescent="0.3">
      <c r="B14" s="8">
        <v>10</v>
      </c>
      <c r="C14" s="8" t="s">
        <v>19</v>
      </c>
      <c r="D14" s="8" t="s">
        <v>5</v>
      </c>
      <c r="E14" s="10"/>
      <c r="F14" s="11"/>
      <c r="G14" s="10"/>
      <c r="H14" s="10"/>
      <c r="I14" s="10" t="s">
        <v>32</v>
      </c>
      <c r="J14" s="11"/>
      <c r="K14" s="10"/>
      <c r="L14" s="10"/>
      <c r="M14" s="10" t="s">
        <v>37</v>
      </c>
      <c r="N14" s="15">
        <v>1168072239</v>
      </c>
    </row>
    <row r="15" spans="2:14" ht="30.6" customHeight="1" x14ac:dyDescent="0.3">
      <c r="B15" s="8">
        <v>11</v>
      </c>
      <c r="C15" s="8" t="s">
        <v>20</v>
      </c>
      <c r="D15" s="8" t="s">
        <v>1</v>
      </c>
      <c r="E15" s="10"/>
      <c r="F15" s="11"/>
      <c r="G15" s="10"/>
      <c r="H15" s="10"/>
      <c r="I15" s="10" t="s">
        <v>32</v>
      </c>
      <c r="J15" s="11"/>
      <c r="K15" s="10"/>
      <c r="L15" s="10"/>
      <c r="M15" s="10" t="s">
        <v>36</v>
      </c>
      <c r="N15" s="15">
        <v>8063061270</v>
      </c>
    </row>
    <row r="16" spans="2:14" ht="30.6" customHeight="1" x14ac:dyDescent="0.3">
      <c r="B16" s="8">
        <v>12</v>
      </c>
      <c r="C16" s="8" t="s">
        <v>21</v>
      </c>
      <c r="D16" s="8" t="s">
        <v>1</v>
      </c>
      <c r="E16" s="10"/>
      <c r="F16" s="11"/>
      <c r="G16" s="10"/>
      <c r="H16" s="10"/>
      <c r="I16" s="10" t="s">
        <v>32</v>
      </c>
      <c r="J16" s="11"/>
      <c r="K16" s="10"/>
      <c r="L16" s="10"/>
      <c r="M16" s="10" t="s">
        <v>36</v>
      </c>
      <c r="N16" s="15">
        <v>1750464264</v>
      </c>
    </row>
    <row r="17" spans="2:14" ht="30.6" customHeight="1" x14ac:dyDescent="0.3">
      <c r="B17" s="8">
        <v>13</v>
      </c>
      <c r="C17" s="8" t="s">
        <v>22</v>
      </c>
      <c r="D17" s="8" t="s">
        <v>1</v>
      </c>
      <c r="E17" s="10"/>
      <c r="F17" s="11"/>
      <c r="G17" s="10"/>
      <c r="H17" s="10"/>
      <c r="I17" s="10" t="s">
        <v>32</v>
      </c>
      <c r="J17" s="11"/>
      <c r="K17" s="10"/>
      <c r="L17" s="10"/>
      <c r="M17" s="10" t="s">
        <v>36</v>
      </c>
      <c r="N17" s="15">
        <v>581537215</v>
      </c>
    </row>
  </sheetData>
  <mergeCells count="1">
    <mergeCell ref="B2:N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19"/>
  <sheetViews>
    <sheetView zoomScale="70" zoomScaleNormal="70" workbookViewId="0">
      <pane xSplit="3" topLeftCell="AA1" activePane="topRight" state="frozen"/>
      <selection pane="topRight" activeCell="C41" sqref="C41"/>
    </sheetView>
  </sheetViews>
  <sheetFormatPr defaultRowHeight="14.4" x14ac:dyDescent="0.3"/>
  <cols>
    <col min="1" max="1" width="1.33203125" customWidth="1"/>
    <col min="2" max="2" width="3.88671875" customWidth="1"/>
    <col min="3" max="3" width="23.109375" customWidth="1"/>
    <col min="4" max="4" width="22.88671875" bestFit="1" customWidth="1"/>
    <col min="5" max="33" width="6.33203125" customWidth="1"/>
    <col min="34" max="34" width="6.6640625" customWidth="1"/>
    <col min="35" max="35" width="5.6640625" hidden="1" customWidth="1"/>
    <col min="36" max="36" width="6.33203125" hidden="1" customWidth="1"/>
    <col min="37" max="38" width="9.109375" hidden="1" customWidth="1"/>
    <col min="39" max="39" width="9.44140625" customWidth="1"/>
  </cols>
  <sheetData>
    <row r="1" spans="2:39" ht="9.75" customHeight="1" x14ac:dyDescent="0.3"/>
    <row r="2" spans="2:39" ht="29.25" customHeight="1" x14ac:dyDescent="0.6">
      <c r="B2" s="13" t="s">
        <v>16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spans="2:39" ht="37.5" customHeight="1" x14ac:dyDescent="0.3">
      <c r="B3" s="6" t="s">
        <v>15</v>
      </c>
      <c r="C3" s="2" t="s">
        <v>14</v>
      </c>
      <c r="D3" s="2" t="s">
        <v>11</v>
      </c>
      <c r="E3" s="2">
        <v>1</v>
      </c>
      <c r="F3" s="2">
        <v>2</v>
      </c>
      <c r="G3" s="2">
        <v>3</v>
      </c>
      <c r="H3" s="2">
        <v>4</v>
      </c>
      <c r="I3" s="2">
        <v>5</v>
      </c>
      <c r="J3" s="2">
        <v>6</v>
      </c>
      <c r="K3" s="2">
        <v>7</v>
      </c>
      <c r="L3" s="2">
        <v>8</v>
      </c>
      <c r="M3" s="2">
        <v>9</v>
      </c>
      <c r="N3" s="2">
        <v>10</v>
      </c>
      <c r="O3" s="2">
        <v>11</v>
      </c>
      <c r="P3" s="2">
        <v>12</v>
      </c>
      <c r="Q3" s="2">
        <v>13</v>
      </c>
      <c r="R3" s="2">
        <v>14</v>
      </c>
      <c r="S3" s="2">
        <v>15</v>
      </c>
      <c r="T3" s="2">
        <v>16</v>
      </c>
      <c r="U3" s="2">
        <v>17</v>
      </c>
      <c r="V3" s="2">
        <v>18</v>
      </c>
      <c r="W3" s="2">
        <v>19</v>
      </c>
      <c r="X3" s="2">
        <v>20</v>
      </c>
      <c r="Y3" s="2">
        <v>21</v>
      </c>
      <c r="Z3" s="2">
        <v>22</v>
      </c>
      <c r="AA3" s="2">
        <v>23</v>
      </c>
      <c r="AB3" s="2">
        <v>24</v>
      </c>
      <c r="AC3" s="2">
        <v>25</v>
      </c>
      <c r="AD3" s="2">
        <v>26</v>
      </c>
      <c r="AE3" s="2">
        <v>27</v>
      </c>
      <c r="AF3" s="2">
        <v>28</v>
      </c>
      <c r="AG3" s="2">
        <v>29</v>
      </c>
      <c r="AH3" s="2">
        <v>30</v>
      </c>
      <c r="AI3" s="2" t="s">
        <v>10</v>
      </c>
      <c r="AJ3" s="2"/>
      <c r="AK3" s="2"/>
      <c r="AL3" s="2"/>
      <c r="AM3" s="5" t="s">
        <v>13</v>
      </c>
    </row>
    <row r="4" spans="2:39" ht="37.5" hidden="1" customHeight="1" x14ac:dyDescent="0.3"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1">
        <v>0.58333333333333337</v>
      </c>
      <c r="AJ4" s="1">
        <v>0.66666666666666663</v>
      </c>
      <c r="AK4" s="3">
        <v>0.41666666666666669</v>
      </c>
      <c r="AL4" s="3">
        <v>0.75</v>
      </c>
      <c r="AM4" s="5"/>
    </row>
    <row r="5" spans="2:39" x14ac:dyDescent="0.3">
      <c r="B5" s="7">
        <v>1</v>
      </c>
      <c r="C5" s="2" t="s">
        <v>0</v>
      </c>
      <c r="D5" s="2" t="s">
        <v>1</v>
      </c>
      <c r="E5" s="3">
        <v>0.58333333333333337</v>
      </c>
      <c r="F5" s="4"/>
      <c r="G5" s="3">
        <v>0.58333333333333337</v>
      </c>
      <c r="H5" s="2"/>
      <c r="I5" s="3">
        <v>0.58333333333333337</v>
      </c>
      <c r="J5" s="4"/>
      <c r="K5" s="3">
        <v>0.66666666666666663</v>
      </c>
      <c r="L5" s="2"/>
      <c r="M5" s="3">
        <v>0.66666666666666663</v>
      </c>
      <c r="N5" s="4"/>
      <c r="O5" s="3"/>
      <c r="P5" s="2"/>
      <c r="Q5" s="3">
        <v>0.66666666666666663</v>
      </c>
      <c r="R5" s="4"/>
      <c r="S5" s="3">
        <v>0.66666666666666663</v>
      </c>
      <c r="T5" s="2"/>
      <c r="U5" s="3">
        <v>0.66666666666666663</v>
      </c>
      <c r="V5" s="4"/>
      <c r="W5" s="3">
        <v>0.66666666666666663</v>
      </c>
      <c r="X5" s="2"/>
      <c r="Y5" s="3">
        <v>0.66666666666666663</v>
      </c>
      <c r="Z5" s="4"/>
      <c r="AA5" s="3">
        <v>0.66666666666666663</v>
      </c>
      <c r="AB5" s="2"/>
      <c r="AC5" s="3">
        <v>0.66666666666666663</v>
      </c>
      <c r="AD5" s="4"/>
      <c r="AE5" s="3">
        <v>0.66666666666666663</v>
      </c>
      <c r="AF5" s="2"/>
      <c r="AG5" s="3">
        <v>0.66666666666666663</v>
      </c>
      <c r="AH5" s="4"/>
      <c r="AI5" s="2">
        <f>COUNTIF(E5:AG5,"14:00")</f>
        <v>3</v>
      </c>
      <c r="AJ5" s="2">
        <f>COUNTIF(E5:AG5,"16:00")</f>
        <v>11</v>
      </c>
      <c r="AK5" s="2">
        <f>COUNTIF(E5:AG5,"10:00")</f>
        <v>0</v>
      </c>
      <c r="AL5" s="2">
        <f>COUNTIF(E5:AG5,"18:00")</f>
        <v>0</v>
      </c>
      <c r="AM5" s="2">
        <f>AI5+AJ5+AK5+AL5</f>
        <v>14</v>
      </c>
    </row>
    <row r="6" spans="2:39" x14ac:dyDescent="0.3">
      <c r="B6" s="7">
        <v>2</v>
      </c>
      <c r="C6" s="2" t="s">
        <v>3</v>
      </c>
      <c r="D6" s="2" t="s">
        <v>1</v>
      </c>
      <c r="E6" s="3">
        <v>0.58333333333333337</v>
      </c>
      <c r="F6" s="4"/>
      <c r="G6" s="2"/>
      <c r="H6" s="3">
        <v>0.75</v>
      </c>
      <c r="I6" s="3">
        <v>0.75</v>
      </c>
      <c r="J6" s="4"/>
      <c r="K6" s="2"/>
      <c r="L6" s="3"/>
      <c r="M6" s="3">
        <v>0.75</v>
      </c>
      <c r="N6" s="4"/>
      <c r="O6" s="2"/>
      <c r="P6" s="3">
        <v>0.75</v>
      </c>
      <c r="Q6" s="3">
        <v>0.75</v>
      </c>
      <c r="R6" s="4"/>
      <c r="S6" s="2"/>
      <c r="T6" s="3">
        <v>0.75</v>
      </c>
      <c r="U6" s="3">
        <v>0.75</v>
      </c>
      <c r="V6" s="4"/>
      <c r="W6" s="2"/>
      <c r="X6" s="3">
        <v>0.75</v>
      </c>
      <c r="Y6" s="3">
        <v>0.75</v>
      </c>
      <c r="Z6" s="4"/>
      <c r="AA6" s="2"/>
      <c r="AB6" s="3">
        <v>0.75</v>
      </c>
      <c r="AC6" s="3">
        <v>0.75</v>
      </c>
      <c r="AD6" s="4"/>
      <c r="AE6" s="2"/>
      <c r="AF6" s="3">
        <v>0.75</v>
      </c>
      <c r="AG6" s="3">
        <v>0.75</v>
      </c>
      <c r="AH6" s="4"/>
      <c r="AI6" s="2">
        <f t="shared" ref="AI6:AI13" si="0">COUNTIF(E6:AG6,"14:00")</f>
        <v>1</v>
      </c>
      <c r="AJ6" s="2">
        <f t="shared" ref="AJ6:AJ13" si="1">COUNTIF(E6:AG6,"16:00")</f>
        <v>0</v>
      </c>
      <c r="AK6" s="2">
        <f t="shared" ref="AK6:AK13" si="2">COUNTIF(E6:AG6,"10:00")</f>
        <v>0</v>
      </c>
      <c r="AL6" s="2">
        <f>COUNTIF(E6:AG6,"18:00")</f>
        <v>13</v>
      </c>
      <c r="AM6" s="2">
        <f t="shared" ref="AM6:AM17" si="3">AI6+AJ6+AK6+AL6</f>
        <v>14</v>
      </c>
    </row>
    <row r="7" spans="2:39" x14ac:dyDescent="0.3">
      <c r="B7" s="7">
        <v>3</v>
      </c>
      <c r="C7" s="2" t="s">
        <v>2</v>
      </c>
      <c r="D7" s="2" t="s">
        <v>1</v>
      </c>
      <c r="E7" s="2"/>
      <c r="F7" s="4"/>
      <c r="G7" s="2"/>
      <c r="H7" s="3">
        <v>0.41666666666666669</v>
      </c>
      <c r="I7" s="3">
        <v>0.41666666666666669</v>
      </c>
      <c r="J7" s="4"/>
      <c r="K7" s="2"/>
      <c r="L7" s="3">
        <v>0.41666666666666669</v>
      </c>
      <c r="M7" s="3">
        <v>0.41666666666666669</v>
      </c>
      <c r="N7" s="4"/>
      <c r="O7" s="2"/>
      <c r="P7" s="3">
        <v>0.41666666666666669</v>
      </c>
      <c r="Q7" s="3">
        <v>0.41666666666666669</v>
      </c>
      <c r="R7" s="4"/>
      <c r="S7" s="2"/>
      <c r="T7" s="3">
        <v>0.41666666666666669</v>
      </c>
      <c r="U7" s="3">
        <v>0.41666666666666669</v>
      </c>
      <c r="V7" s="4"/>
      <c r="W7" s="2"/>
      <c r="X7" s="3">
        <v>0.41666666666666669</v>
      </c>
      <c r="Y7" s="3">
        <v>0.41666666666666669</v>
      </c>
      <c r="Z7" s="4"/>
      <c r="AA7" s="2"/>
      <c r="AB7" s="3">
        <v>0.41666666666666669</v>
      </c>
      <c r="AC7" s="3">
        <v>0.41666666666666669</v>
      </c>
      <c r="AD7" s="4"/>
      <c r="AE7" s="2"/>
      <c r="AF7" s="3">
        <v>0.41666666666666669</v>
      </c>
      <c r="AG7" s="3">
        <v>0.41666666666666669</v>
      </c>
      <c r="AH7" s="4"/>
      <c r="AI7" s="2">
        <f t="shared" si="0"/>
        <v>0</v>
      </c>
      <c r="AJ7" s="2">
        <f t="shared" si="1"/>
        <v>0</v>
      </c>
      <c r="AK7" s="2">
        <f t="shared" si="2"/>
        <v>14</v>
      </c>
      <c r="AL7" s="2">
        <f t="shared" ref="AL7:AL13" si="4">COUNTIF(E7:AG7,"18:00")</f>
        <v>0</v>
      </c>
      <c r="AM7" s="2">
        <f t="shared" si="3"/>
        <v>14</v>
      </c>
    </row>
    <row r="8" spans="2:39" x14ac:dyDescent="0.3">
      <c r="B8" s="7">
        <v>4</v>
      </c>
      <c r="C8" s="2" t="s">
        <v>7</v>
      </c>
      <c r="D8" s="2" t="s">
        <v>1</v>
      </c>
      <c r="E8" s="2"/>
      <c r="F8" s="4"/>
      <c r="G8" s="2"/>
      <c r="H8" s="3">
        <v>0.75</v>
      </c>
      <c r="I8" s="3">
        <v>0.75</v>
      </c>
      <c r="J8" s="4"/>
      <c r="K8" s="2"/>
      <c r="L8" s="3">
        <v>0.75</v>
      </c>
      <c r="M8" s="3">
        <v>0.75</v>
      </c>
      <c r="N8" s="4"/>
      <c r="O8" s="2"/>
      <c r="P8" s="3">
        <v>0.75</v>
      </c>
      <c r="Q8" s="3">
        <v>0.75</v>
      </c>
      <c r="R8" s="4"/>
      <c r="S8" s="2"/>
      <c r="T8" s="3">
        <v>0.75</v>
      </c>
      <c r="U8" s="3">
        <v>0.75</v>
      </c>
      <c r="V8" s="4"/>
      <c r="W8" s="2"/>
      <c r="X8" s="3">
        <v>0.75</v>
      </c>
      <c r="Y8" s="3">
        <v>0.75</v>
      </c>
      <c r="Z8" s="4"/>
      <c r="AA8" s="2"/>
      <c r="AB8" s="3">
        <v>0.75</v>
      </c>
      <c r="AC8" s="3">
        <v>0.75</v>
      </c>
      <c r="AD8" s="4"/>
      <c r="AE8" s="2"/>
      <c r="AF8" s="3">
        <v>0.75</v>
      </c>
      <c r="AG8" s="3">
        <v>0.75</v>
      </c>
      <c r="AH8" s="4"/>
      <c r="AI8" s="2">
        <f t="shared" si="0"/>
        <v>0</v>
      </c>
      <c r="AJ8" s="2">
        <f t="shared" si="1"/>
        <v>0</v>
      </c>
      <c r="AK8" s="2">
        <f t="shared" si="2"/>
        <v>0</v>
      </c>
      <c r="AL8" s="2">
        <f t="shared" si="4"/>
        <v>14</v>
      </c>
      <c r="AM8" s="2">
        <f t="shared" si="3"/>
        <v>14</v>
      </c>
    </row>
    <row r="9" spans="2:39" x14ac:dyDescent="0.3">
      <c r="B9" s="7">
        <v>5</v>
      </c>
      <c r="C9" s="2" t="s">
        <v>8</v>
      </c>
      <c r="D9" s="2" t="s">
        <v>1</v>
      </c>
      <c r="E9" s="2"/>
      <c r="F9" s="4"/>
      <c r="G9" s="2"/>
      <c r="H9" s="3">
        <v>0.41666666666666669</v>
      </c>
      <c r="I9" s="3">
        <v>0.41666666666666669</v>
      </c>
      <c r="J9" s="4"/>
      <c r="K9" s="2"/>
      <c r="L9" s="3">
        <v>0.41666666666666669</v>
      </c>
      <c r="M9" s="3">
        <v>0.41666666666666669</v>
      </c>
      <c r="N9" s="4"/>
      <c r="O9" s="2"/>
      <c r="P9" s="3">
        <v>0.41666666666666669</v>
      </c>
      <c r="Q9" s="3">
        <v>0.41666666666666669</v>
      </c>
      <c r="R9" s="4"/>
      <c r="S9" s="2"/>
      <c r="T9" s="3">
        <v>0.41666666666666669</v>
      </c>
      <c r="U9" s="3">
        <v>0.41666666666666669</v>
      </c>
      <c r="V9" s="4"/>
      <c r="W9" s="2"/>
      <c r="X9" s="3">
        <v>0.41666666666666669</v>
      </c>
      <c r="Y9" s="3">
        <v>0.41666666666666669</v>
      </c>
      <c r="Z9" s="4"/>
      <c r="AA9" s="2"/>
      <c r="AB9" s="3">
        <v>0.41666666666666669</v>
      </c>
      <c r="AC9" s="3">
        <v>0.41666666666666669</v>
      </c>
      <c r="AD9" s="4"/>
      <c r="AE9" s="2"/>
      <c r="AF9" s="3">
        <v>0.41666666666666669</v>
      </c>
      <c r="AG9" s="3">
        <v>0.41666666666666669</v>
      </c>
      <c r="AH9" s="4"/>
      <c r="AI9" s="2">
        <f t="shared" si="0"/>
        <v>0</v>
      </c>
      <c r="AJ9" s="2">
        <f t="shared" si="1"/>
        <v>0</v>
      </c>
      <c r="AK9" s="2">
        <f t="shared" si="2"/>
        <v>14</v>
      </c>
      <c r="AL9" s="2">
        <f t="shared" si="4"/>
        <v>0</v>
      </c>
      <c r="AM9" s="2">
        <f t="shared" si="3"/>
        <v>14</v>
      </c>
    </row>
    <row r="10" spans="2:39" x14ac:dyDescent="0.3">
      <c r="B10" s="7">
        <v>6</v>
      </c>
      <c r="C10" s="2" t="s">
        <v>4</v>
      </c>
      <c r="D10" s="2" t="s">
        <v>5</v>
      </c>
      <c r="E10" s="3">
        <v>0.66666666666666663</v>
      </c>
      <c r="F10" s="4"/>
      <c r="G10" s="3">
        <v>0.66666666666666663</v>
      </c>
      <c r="H10" s="2"/>
      <c r="I10" s="3">
        <v>0.66666666666666663</v>
      </c>
      <c r="J10" s="4"/>
      <c r="K10" s="3">
        <v>0.66666666666666663</v>
      </c>
      <c r="L10" s="2"/>
      <c r="M10" s="3">
        <v>0.66666666666666663</v>
      </c>
      <c r="N10" s="4"/>
      <c r="O10" s="3"/>
      <c r="P10" s="2"/>
      <c r="Q10" s="3">
        <v>0.66666666666666663</v>
      </c>
      <c r="R10" s="4"/>
      <c r="S10" s="3">
        <v>0.66666666666666663</v>
      </c>
      <c r="T10" s="2"/>
      <c r="U10" s="3">
        <v>0.66666666666666663</v>
      </c>
      <c r="V10" s="4"/>
      <c r="W10" s="3">
        <v>0.66666666666666663</v>
      </c>
      <c r="X10" s="2"/>
      <c r="Y10" s="3">
        <v>0.66666666666666663</v>
      </c>
      <c r="Z10" s="4"/>
      <c r="AA10" s="3">
        <v>0.66666666666666663</v>
      </c>
      <c r="AB10" s="2"/>
      <c r="AC10" s="3">
        <v>0.66666666666666663</v>
      </c>
      <c r="AD10" s="4"/>
      <c r="AE10" s="3">
        <v>0.66666666666666663</v>
      </c>
      <c r="AF10" s="2"/>
      <c r="AG10" s="3">
        <v>0.66666666666666663</v>
      </c>
      <c r="AH10" s="4"/>
      <c r="AI10" s="2">
        <f t="shared" si="0"/>
        <v>0</v>
      </c>
      <c r="AJ10" s="2">
        <f t="shared" si="1"/>
        <v>14</v>
      </c>
      <c r="AK10" s="2">
        <f t="shared" si="2"/>
        <v>0</v>
      </c>
      <c r="AL10" s="2">
        <f t="shared" si="4"/>
        <v>0</v>
      </c>
      <c r="AM10" s="2">
        <f t="shared" si="3"/>
        <v>14</v>
      </c>
    </row>
    <row r="11" spans="2:39" x14ac:dyDescent="0.3">
      <c r="B11" s="7">
        <v>7</v>
      </c>
      <c r="C11" s="2" t="s">
        <v>9</v>
      </c>
      <c r="D11" s="2" t="s">
        <v>5</v>
      </c>
      <c r="E11" s="3">
        <v>0.66666666666666663</v>
      </c>
      <c r="F11" s="4"/>
      <c r="G11" s="3">
        <v>0.66666666666666663</v>
      </c>
      <c r="H11" s="3">
        <v>0.66666666666666663</v>
      </c>
      <c r="J11" s="4"/>
      <c r="K11" s="3">
        <v>0.66666666666666663</v>
      </c>
      <c r="L11" s="3">
        <v>0.75</v>
      </c>
      <c r="M11" s="3"/>
      <c r="N11" s="4"/>
      <c r="O11" s="3"/>
      <c r="P11" s="3">
        <v>0.66666666666666663</v>
      </c>
      <c r="Q11" s="3"/>
      <c r="R11" s="4"/>
      <c r="S11" s="3">
        <v>0.66666666666666663</v>
      </c>
      <c r="T11" s="3">
        <v>0.66666666666666663</v>
      </c>
      <c r="U11" s="3"/>
      <c r="V11" s="4"/>
      <c r="W11" s="3">
        <v>0.66666666666666663</v>
      </c>
      <c r="X11" s="3">
        <v>0.66666666666666663</v>
      </c>
      <c r="Y11" s="3"/>
      <c r="Z11" s="4"/>
      <c r="AA11" s="3">
        <v>0.66666666666666663</v>
      </c>
      <c r="AB11" s="3">
        <v>0.66666666666666663</v>
      </c>
      <c r="AC11" s="3"/>
      <c r="AD11" s="4"/>
      <c r="AE11" s="3">
        <v>0.66666666666666663</v>
      </c>
      <c r="AF11" s="3">
        <v>0.66666666666666663</v>
      </c>
      <c r="AG11" s="3"/>
      <c r="AH11" s="4"/>
      <c r="AI11" s="2">
        <f t="shared" si="0"/>
        <v>0</v>
      </c>
      <c r="AJ11" s="2">
        <f t="shared" si="1"/>
        <v>13</v>
      </c>
      <c r="AK11" s="2">
        <f t="shared" si="2"/>
        <v>0</v>
      </c>
      <c r="AL11" s="2">
        <f t="shared" si="4"/>
        <v>1</v>
      </c>
      <c r="AM11" s="2">
        <f t="shared" si="3"/>
        <v>14</v>
      </c>
    </row>
    <row r="12" spans="2:39" x14ac:dyDescent="0.3">
      <c r="B12" s="7">
        <v>8</v>
      </c>
      <c r="C12" s="2" t="s">
        <v>17</v>
      </c>
      <c r="D12" s="2" t="s">
        <v>6</v>
      </c>
      <c r="E12" s="3">
        <v>0.66666666666666663</v>
      </c>
      <c r="F12" s="4"/>
      <c r="G12" s="3"/>
      <c r="H12" s="3">
        <v>0.41666666666666669</v>
      </c>
      <c r="I12" s="3">
        <v>0.41666666666666669</v>
      </c>
      <c r="J12" s="4"/>
      <c r="K12" s="3"/>
      <c r="L12" s="3">
        <v>0.41666666666666669</v>
      </c>
      <c r="M12" s="3">
        <v>0.41666666666666669</v>
      </c>
      <c r="N12" s="4"/>
      <c r="O12" s="3"/>
      <c r="P12" s="3"/>
      <c r="Q12" s="3">
        <v>0.41666666666666669</v>
      </c>
      <c r="R12" s="4"/>
      <c r="S12" s="3"/>
      <c r="T12" s="3">
        <v>0.41666666666666669</v>
      </c>
      <c r="U12" s="3">
        <v>0.41666666666666669</v>
      </c>
      <c r="V12" s="4"/>
      <c r="W12" s="3"/>
      <c r="X12" s="3">
        <v>0.41666666666666669</v>
      </c>
      <c r="Y12" s="3">
        <v>0.41666666666666669</v>
      </c>
      <c r="Z12" s="4"/>
      <c r="AA12" s="3"/>
      <c r="AB12" s="3">
        <v>0.41666666666666669</v>
      </c>
      <c r="AC12" s="3">
        <v>0.41666666666666669</v>
      </c>
      <c r="AD12" s="4"/>
      <c r="AE12" s="3"/>
      <c r="AF12" s="3">
        <v>0.41666666666666669</v>
      </c>
      <c r="AG12" s="3">
        <v>0.41666666666666669</v>
      </c>
      <c r="AH12" s="4"/>
      <c r="AI12" s="2">
        <f t="shared" si="0"/>
        <v>0</v>
      </c>
      <c r="AJ12" s="2">
        <f t="shared" si="1"/>
        <v>1</v>
      </c>
      <c r="AK12" s="2">
        <f t="shared" si="2"/>
        <v>13</v>
      </c>
      <c r="AL12" s="2">
        <f t="shared" si="4"/>
        <v>0</v>
      </c>
      <c r="AM12" s="2">
        <f t="shared" si="3"/>
        <v>14</v>
      </c>
    </row>
    <row r="13" spans="2:39" x14ac:dyDescent="0.3">
      <c r="B13" s="7">
        <v>9</v>
      </c>
      <c r="C13" s="2" t="s">
        <v>18</v>
      </c>
      <c r="D13" s="2" t="s">
        <v>6</v>
      </c>
      <c r="E13" s="3">
        <v>0.58333333333333337</v>
      </c>
      <c r="F13" s="4"/>
      <c r="G13" s="3"/>
      <c r="H13" s="3">
        <v>0.41666666666666669</v>
      </c>
      <c r="I13" s="3">
        <v>0.41666666666666669</v>
      </c>
      <c r="J13" s="4"/>
      <c r="K13" s="3"/>
      <c r="L13" s="3">
        <v>0.41666666666666669</v>
      </c>
      <c r="M13" s="3">
        <v>0.41666666666666669</v>
      </c>
      <c r="N13" s="4"/>
      <c r="O13" s="3"/>
      <c r="P13" s="3"/>
      <c r="Q13" s="3">
        <v>0.41666666666666669</v>
      </c>
      <c r="R13" s="4"/>
      <c r="S13" s="3"/>
      <c r="T13" s="3">
        <v>0.41666666666666669</v>
      </c>
      <c r="U13" s="3">
        <v>0.41666666666666669</v>
      </c>
      <c r="V13" s="4"/>
      <c r="W13" s="3"/>
      <c r="X13" s="3">
        <v>0.41666666666666669</v>
      </c>
      <c r="Y13" s="3">
        <v>0.41666666666666669</v>
      </c>
      <c r="Z13" s="4"/>
      <c r="AA13" s="3"/>
      <c r="AB13" s="3">
        <v>0.41666666666666669</v>
      </c>
      <c r="AC13" s="3">
        <v>0.41666666666666669</v>
      </c>
      <c r="AD13" s="4"/>
      <c r="AE13" s="3"/>
      <c r="AF13" s="3">
        <v>0.41666666666666669</v>
      </c>
      <c r="AG13" s="3">
        <v>0.41666666666666669</v>
      </c>
      <c r="AH13" s="4"/>
      <c r="AI13" s="2">
        <f t="shared" si="0"/>
        <v>1</v>
      </c>
      <c r="AJ13" s="2">
        <f t="shared" si="1"/>
        <v>0</v>
      </c>
      <c r="AK13" s="2">
        <f t="shared" si="2"/>
        <v>13</v>
      </c>
      <c r="AL13" s="2">
        <f t="shared" si="4"/>
        <v>0</v>
      </c>
      <c r="AM13" s="2">
        <f t="shared" si="3"/>
        <v>14</v>
      </c>
    </row>
    <row r="14" spans="2:39" x14ac:dyDescent="0.3">
      <c r="B14" s="7">
        <v>10</v>
      </c>
      <c r="C14" s="2" t="s">
        <v>19</v>
      </c>
      <c r="D14" s="2" t="s">
        <v>5</v>
      </c>
      <c r="E14" s="3"/>
      <c r="F14" s="4"/>
      <c r="G14" s="3"/>
      <c r="H14" s="3"/>
      <c r="I14" s="3"/>
      <c r="J14" s="4"/>
      <c r="K14" s="3"/>
      <c r="L14" s="3">
        <v>0.75</v>
      </c>
      <c r="M14" s="3">
        <v>0.75</v>
      </c>
      <c r="N14" s="4"/>
      <c r="O14" s="3"/>
      <c r="P14" s="3">
        <v>0.75</v>
      </c>
      <c r="Q14" s="3">
        <v>0.75</v>
      </c>
      <c r="R14" s="4"/>
      <c r="S14" s="3"/>
      <c r="T14" s="3">
        <v>0.75</v>
      </c>
      <c r="U14" s="3">
        <v>0.75</v>
      </c>
      <c r="V14" s="4"/>
      <c r="W14" s="3"/>
      <c r="X14" s="3">
        <v>0.75</v>
      </c>
      <c r="Y14" s="3">
        <v>0.75</v>
      </c>
      <c r="Z14" s="4"/>
      <c r="AA14" s="3"/>
      <c r="AB14" s="3">
        <v>0.75</v>
      </c>
      <c r="AC14" s="3">
        <v>0.75</v>
      </c>
      <c r="AD14" s="4"/>
      <c r="AE14" s="3"/>
      <c r="AF14" s="3">
        <v>0.75</v>
      </c>
      <c r="AG14" s="3">
        <v>0.75</v>
      </c>
      <c r="AH14" s="4"/>
      <c r="AI14" s="2">
        <f t="shared" ref="AI14" si="5">COUNTIF(E14:AG14,"14:00")</f>
        <v>0</v>
      </c>
      <c r="AJ14" s="2">
        <f t="shared" ref="AJ14" si="6">COUNTIF(E14:AG14,"16:00")</f>
        <v>0</v>
      </c>
      <c r="AK14" s="2">
        <f t="shared" ref="AK14" si="7">COUNTIF(E14:AG14,"10:00")</f>
        <v>0</v>
      </c>
      <c r="AL14" s="2">
        <f t="shared" ref="AL14" si="8">COUNTIF(E14:AG14,"18:00")</f>
        <v>12</v>
      </c>
      <c r="AM14" s="2">
        <f t="shared" si="3"/>
        <v>12</v>
      </c>
    </row>
    <row r="15" spans="2:39" x14ac:dyDescent="0.3">
      <c r="B15" s="7">
        <v>11</v>
      </c>
      <c r="C15" s="2" t="s">
        <v>20</v>
      </c>
      <c r="D15" s="2" t="s">
        <v>1</v>
      </c>
      <c r="E15" s="3"/>
      <c r="F15" s="4"/>
      <c r="G15" s="3"/>
      <c r="H15" s="3"/>
      <c r="I15" s="3"/>
      <c r="J15" s="4"/>
      <c r="K15" s="3"/>
      <c r="L15" s="3"/>
      <c r="M15" s="3"/>
      <c r="N15" s="4"/>
      <c r="O15" s="3"/>
      <c r="P15" s="3">
        <v>0.41666666666666669</v>
      </c>
      <c r="Q15" s="3">
        <v>0.41666666666666669</v>
      </c>
      <c r="R15" s="4"/>
      <c r="S15" s="3"/>
      <c r="T15" s="3">
        <v>0.41666666666666669</v>
      </c>
      <c r="U15" s="3">
        <v>0.41666666666666669</v>
      </c>
      <c r="V15" s="4"/>
      <c r="W15" s="3"/>
      <c r="X15" s="3">
        <v>0.41666666666666669</v>
      </c>
      <c r="Y15" s="3">
        <v>0.41666666666666669</v>
      </c>
      <c r="Z15" s="4"/>
      <c r="AA15" s="3"/>
      <c r="AB15" s="3">
        <v>0.41666666666666669</v>
      </c>
      <c r="AC15" s="3">
        <v>0.41666666666666669</v>
      </c>
      <c r="AD15" s="4"/>
      <c r="AE15" s="3"/>
      <c r="AF15" s="3">
        <v>0.41666666666666669</v>
      </c>
      <c r="AG15" s="3">
        <v>0.41666666666666669</v>
      </c>
      <c r="AH15" s="4"/>
      <c r="AI15" s="2">
        <f t="shared" ref="AI15:AI17" si="9">COUNTIF(E15:AG15,"14:00")</f>
        <v>0</v>
      </c>
      <c r="AJ15" s="2">
        <f t="shared" ref="AJ15:AJ17" si="10">COUNTIF(E15:AG15,"16:00")</f>
        <v>0</v>
      </c>
      <c r="AK15" s="2">
        <f t="shared" ref="AK15:AK17" si="11">COUNTIF(E15:AG15,"10:00")</f>
        <v>10</v>
      </c>
      <c r="AL15" s="2">
        <f t="shared" ref="AL15:AL17" si="12">COUNTIF(E15:AG15,"18:00")</f>
        <v>0</v>
      </c>
      <c r="AM15" s="2">
        <f t="shared" si="3"/>
        <v>10</v>
      </c>
    </row>
    <row r="16" spans="2:39" x14ac:dyDescent="0.3">
      <c r="B16" s="7">
        <v>12</v>
      </c>
      <c r="C16" s="2" t="s">
        <v>21</v>
      </c>
      <c r="D16" s="2" t="s">
        <v>1</v>
      </c>
      <c r="E16" s="3"/>
      <c r="F16" s="4"/>
      <c r="G16" s="3"/>
      <c r="H16" s="3"/>
      <c r="I16" s="3"/>
      <c r="J16" s="4"/>
      <c r="K16" s="3"/>
      <c r="L16" s="3"/>
      <c r="M16" s="3"/>
      <c r="N16" s="4"/>
      <c r="O16" s="3"/>
      <c r="P16" s="3">
        <v>0.41666666666666669</v>
      </c>
      <c r="Q16" s="3">
        <v>0.41666666666666669</v>
      </c>
      <c r="R16" s="4"/>
      <c r="S16" s="3"/>
      <c r="T16" s="3">
        <v>0.41666666666666669</v>
      </c>
      <c r="U16" s="3">
        <v>0.41666666666666669</v>
      </c>
      <c r="V16" s="4"/>
      <c r="W16" s="3"/>
      <c r="X16" s="3">
        <v>0.41666666666666669</v>
      </c>
      <c r="Y16" s="3">
        <v>0.41666666666666669</v>
      </c>
      <c r="Z16" s="4"/>
      <c r="AA16" s="3"/>
      <c r="AB16" s="3">
        <v>0.41666666666666669</v>
      </c>
      <c r="AC16" s="3">
        <v>0.41666666666666669</v>
      </c>
      <c r="AD16" s="4"/>
      <c r="AE16" s="3"/>
      <c r="AF16" s="3">
        <v>0.41666666666666669</v>
      </c>
      <c r="AG16" s="3">
        <v>0.41666666666666669</v>
      </c>
      <c r="AH16" s="4"/>
      <c r="AI16" s="2">
        <f t="shared" si="9"/>
        <v>0</v>
      </c>
      <c r="AJ16" s="2">
        <f t="shared" si="10"/>
        <v>0</v>
      </c>
      <c r="AK16" s="2">
        <f t="shared" si="11"/>
        <v>10</v>
      </c>
      <c r="AL16" s="2">
        <f t="shared" si="12"/>
        <v>0</v>
      </c>
      <c r="AM16" s="2">
        <f t="shared" si="3"/>
        <v>10</v>
      </c>
    </row>
    <row r="17" spans="2:39" x14ac:dyDescent="0.3">
      <c r="B17" s="7">
        <v>13</v>
      </c>
      <c r="C17" s="2" t="s">
        <v>22</v>
      </c>
      <c r="D17" s="2" t="s">
        <v>1</v>
      </c>
      <c r="E17" s="3"/>
      <c r="F17" s="4"/>
      <c r="G17" s="3"/>
      <c r="H17" s="3"/>
      <c r="I17" s="3"/>
      <c r="J17" s="4"/>
      <c r="K17" s="3"/>
      <c r="L17" s="3"/>
      <c r="M17" s="3"/>
      <c r="N17" s="4"/>
      <c r="O17" s="3"/>
      <c r="P17" s="3"/>
      <c r="Q17" s="3">
        <v>0.75</v>
      </c>
      <c r="R17" s="4"/>
      <c r="S17" s="3"/>
      <c r="T17" s="3">
        <v>0.75</v>
      </c>
      <c r="U17" s="3">
        <v>0.75</v>
      </c>
      <c r="V17" s="4"/>
      <c r="W17" s="3"/>
      <c r="X17" s="3">
        <v>0.75</v>
      </c>
      <c r="Y17" s="3">
        <v>0.75</v>
      </c>
      <c r="Z17" s="4"/>
      <c r="AA17" s="3"/>
      <c r="AB17" s="3">
        <v>0.75</v>
      </c>
      <c r="AC17" s="3">
        <v>0.75</v>
      </c>
      <c r="AD17" s="4"/>
      <c r="AE17" s="3"/>
      <c r="AF17" s="3">
        <v>0.75</v>
      </c>
      <c r="AG17" s="3">
        <v>0.75</v>
      </c>
      <c r="AH17" s="4"/>
      <c r="AI17" s="2">
        <f t="shared" si="9"/>
        <v>0</v>
      </c>
      <c r="AJ17" s="2">
        <f t="shared" si="10"/>
        <v>0</v>
      </c>
      <c r="AK17" s="2">
        <f t="shared" si="11"/>
        <v>0</v>
      </c>
      <c r="AL17" s="2">
        <f t="shared" si="12"/>
        <v>9</v>
      </c>
      <c r="AM17" s="2">
        <f t="shared" si="3"/>
        <v>9</v>
      </c>
    </row>
    <row r="18" spans="2:39" ht="15" customHeight="1" x14ac:dyDescent="0.3">
      <c r="B18" s="14" t="s">
        <v>12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2:39" ht="15" customHeight="1" x14ac:dyDescent="0.3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</sheetData>
  <mergeCells count="2">
    <mergeCell ref="B18:AM19"/>
    <mergeCell ref="B2:A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oylik to'lovlar</vt:lpstr>
      <vt:lpstr>Sentabr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</dc:creator>
  <cp:lastModifiedBy>User</cp:lastModifiedBy>
  <dcterms:created xsi:type="dcterms:W3CDTF">2015-06-05T18:19:34Z</dcterms:created>
  <dcterms:modified xsi:type="dcterms:W3CDTF">2026-09-13T09:16:46Z</dcterms:modified>
</cp:coreProperties>
</file>